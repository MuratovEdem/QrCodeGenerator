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Projects Java\QrCodeGenerator\test-pdfs\"/>
    </mc:Choice>
  </mc:AlternateContent>
  <xr:revisionPtr revIDLastSave="0" documentId="13_ncr:1_{3120404A-9A80-45DD-966C-7CCD85DAE2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7" i="1" l="1"/>
  <c r="D35" i="1"/>
  <c r="E47" i="1"/>
  <c r="E48" i="1"/>
  <c r="E49" i="1"/>
  <c r="E50" i="1"/>
  <c r="E51" i="1"/>
  <c r="E52" i="1"/>
  <c r="E53" i="1"/>
  <c r="E54" i="1"/>
  <c r="E55" i="1"/>
  <c r="E46" i="1"/>
  <c r="F46" i="1" l="1"/>
  <c r="F55" i="1"/>
  <c r="F54" i="1"/>
  <c r="F53" i="1"/>
  <c r="F52" i="1"/>
  <c r="F51" i="1"/>
  <c r="F50" i="1"/>
  <c r="F49" i="1"/>
  <c r="F48" i="1"/>
  <c r="F47" i="1"/>
  <c r="G46" i="1" l="1"/>
</calcChain>
</file>

<file path=xl/sharedStrings.xml><?xml version="1.0" encoding="utf-8"?>
<sst xmlns="http://schemas.openxmlformats.org/spreadsheetml/2006/main" count="40" uniqueCount="40">
  <si>
    <r>
      <rPr>
        <sz val="10"/>
        <rFont val="Cambria"/>
        <family val="1"/>
      </rPr>
      <t>Утверждаю</t>
    </r>
  </si>
  <si>
    <r>
      <rPr>
        <sz val="10"/>
        <rFont val="Cambria"/>
        <family val="1"/>
      </rPr>
      <t>Руководитель ИСЛ «КОНТРОЛЬ-М»</t>
    </r>
  </si>
  <si>
    <r>
      <rPr>
        <sz val="12"/>
        <rFont val="Symbol"/>
        <family val="1"/>
      </rPr>
      <t></t>
    </r>
    <r>
      <rPr>
        <sz val="12"/>
        <rFont val="Times New Roman"/>
        <family val="1"/>
      </rPr>
      <t xml:space="preserve">    </t>
    </r>
    <r>
      <rPr>
        <b/>
        <sz val="12"/>
        <rFont val="Cambria"/>
        <family val="1"/>
      </rPr>
      <t xml:space="preserve">Наименование объекта: </t>
    </r>
    <r>
      <rPr>
        <sz val="12"/>
        <rFont val="Cambria"/>
        <family val="1"/>
      </rPr>
      <t>«Строительство автомобильной дороги в объезд МДЦ «Артек»»</t>
    </r>
  </si>
  <si>
    <r>
      <rPr>
        <sz val="12"/>
        <rFont val="Cambria"/>
        <family val="1"/>
      </rPr>
      <t>Внутренняя градуировочная зависимость имеет вид:</t>
    </r>
  </si>
  <si>
    <r>
      <rPr>
        <sz val="12"/>
        <rFont val="Cambria"/>
        <family val="1"/>
      </rPr>
      <t>V–скорость ультразвука</t>
    </r>
  </si>
  <si>
    <r>
      <rPr>
        <sz val="12"/>
        <rFont val="Cambria"/>
        <family val="1"/>
      </rPr>
      <t>Результаты испытания ориентировочной прочности бетона приведены в таблице 1.</t>
    </r>
  </si>
  <si>
    <r>
      <rPr>
        <sz val="12"/>
        <rFont val="Cambria"/>
        <family val="1"/>
      </rPr>
      <t>Наименование конструкции</t>
    </r>
  </si>
  <si>
    <r>
      <rPr>
        <sz val="12"/>
        <rFont val="Cambria"/>
        <family val="1"/>
      </rPr>
      <t>Номер контролируемого участка, n</t>
    </r>
  </si>
  <si>
    <r>
      <rPr>
        <sz val="12"/>
        <rFont val="Cambria"/>
        <family val="1"/>
      </rPr>
      <t>Скорость ультразвука в участке, м/с</t>
    </r>
  </si>
  <si>
    <r>
      <rPr>
        <sz val="12"/>
        <rFont val="Cambria"/>
        <family val="1"/>
      </rPr>
      <t>Ориентировочная прочность бетона R, МПа</t>
    </r>
  </si>
  <si>
    <r>
      <rPr>
        <sz val="12"/>
        <rFont val="Cambria"/>
        <family val="1"/>
      </rPr>
      <t>Среднее значение ориентировочной прочности R, МПа</t>
    </r>
  </si>
  <si>
    <r>
      <rPr>
        <sz val="12"/>
        <rFont val="Cambria"/>
        <family val="1"/>
      </rPr>
      <t>Км</t>
    </r>
  </si>
  <si>
    <r>
      <rPr>
        <sz val="12"/>
        <rFont val="Cambria"/>
        <family val="1"/>
      </rPr>
      <t>Специалист НМК. Удостоверение №98525/3672-1</t>
    </r>
  </si>
  <si>
    <r>
      <rPr>
        <u/>
        <sz val="12"/>
        <rFont val="Times New Roman"/>
        <family val="1"/>
      </rPr>
      <t>                              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Бейтуллаев К.А.</t>
    </r>
  </si>
  <si>
    <t>Протокол № УЗК –36-249 от 20.12.2025</t>
  </si>
  <si>
    <t>где: R –ориентировочная прочность бетона</t>
  </si>
  <si>
    <t>Таблица 1</t>
  </si>
  <si>
    <t>испытания прочности бетона монолитных конструкций ультразвуковым методом</t>
  </si>
  <si>
    <t>R = 1,5 * 10^(-2) * V - 2,5 * 10; Мпа</t>
  </si>
  <si>
    <r>
      <rPr>
        <sz val="12"/>
        <rFont val="Symbol"/>
        <family val="1"/>
      </rPr>
      <t></t>
    </r>
    <r>
      <rPr>
        <sz val="12"/>
        <rFont val="Times New Roman"/>
        <family val="1"/>
      </rPr>
      <t xml:space="preserve">    </t>
    </r>
    <r>
      <rPr>
        <b/>
        <sz val="12"/>
        <rFont val="Cambria"/>
        <family val="1"/>
      </rPr>
      <t xml:space="preserve">Основание для проведения испытаний: </t>
    </r>
    <r>
      <rPr>
        <sz val="12"/>
        <rFont val="Cambria"/>
        <family val="1"/>
      </rPr>
      <t>Договор ИСЛ-2025-17-01-1 от 17 января 2025г.</t>
    </r>
  </si>
  <si>
    <r>
      <rPr>
        <sz val="12"/>
        <rFont val="Symbol"/>
        <family val="1"/>
      </rPr>
      <t></t>
    </r>
    <r>
      <rPr>
        <sz val="12"/>
        <rFont val="Times New Roman"/>
        <family val="1"/>
      </rPr>
      <t xml:space="preserve">    </t>
    </r>
    <r>
      <rPr>
        <b/>
        <sz val="12"/>
        <rFont val="Cambria"/>
        <family val="1"/>
      </rPr>
      <t xml:space="preserve">Заказчик: </t>
    </r>
    <r>
      <rPr>
        <sz val="12"/>
        <rFont val="Cambria"/>
        <family val="1"/>
      </rPr>
      <t>ООО «РНД-Проект»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ИНН 6164126130</t>
    </r>
  </si>
  <si>
    <t xml:space="preserve">По ГОСТ 17624-2021 п.5.6, Применение ультразвуковых приборов для непосредственного </t>
  </si>
  <si>
    <t xml:space="preserve">определения прочности бетона не допускается. Показания приборов следует рассматривать как </t>
  </si>
  <si>
    <t xml:space="preserve">ориентировочную прочность бетона. Не допускается использовать ориентировочные значения </t>
  </si>
  <si>
    <t>прочности для оценки класса бетона по прочности</t>
  </si>
  <si>
    <t xml:space="preserve">Определение ориентировочной прочности бетона проводилось с помощью внутренней </t>
  </si>
  <si>
    <t>градуировочной зависимости прибора «Пульсар – 2»</t>
  </si>
  <si>
    <r>
      <rPr>
        <sz val="12"/>
        <rFont val="Symbol"/>
        <family val="1"/>
      </rPr>
      <t></t>
    </r>
    <r>
      <rPr>
        <sz val="12"/>
        <rFont val="Times New Roman"/>
        <family val="1"/>
      </rPr>
      <t xml:space="preserve">    </t>
    </r>
    <r>
      <rPr>
        <b/>
        <sz val="12"/>
        <rFont val="Cambria"/>
        <family val="1"/>
      </rPr>
      <t>Дата бетонирования конструкций:</t>
    </r>
  </si>
  <si>
    <r>
      <rPr>
        <sz val="12"/>
        <rFont val="Symbol"/>
        <family val="1"/>
      </rPr>
      <t></t>
    </r>
    <r>
      <rPr>
        <sz val="12"/>
        <rFont val="Times New Roman"/>
        <family val="1"/>
      </rPr>
      <t xml:space="preserve">    </t>
    </r>
    <r>
      <rPr>
        <b/>
        <sz val="12"/>
        <rFont val="Cambria"/>
        <family val="1"/>
      </rPr>
      <t>Дата испытания прочности бетона:</t>
    </r>
  </si>
  <si>
    <t>ГОСТ 7473-2010</t>
  </si>
  <si>
    <r>
      <rPr>
        <sz val="12"/>
        <rFont val="Symbol"/>
        <family val="1"/>
      </rPr>
      <t></t>
    </r>
    <r>
      <rPr>
        <sz val="12"/>
        <rFont val="Times New Roman"/>
        <family val="1"/>
      </rPr>
      <t xml:space="preserve">    </t>
    </r>
    <r>
      <rPr>
        <b/>
        <sz val="12"/>
        <rFont val="Cambria"/>
        <family val="1"/>
      </rPr>
      <t xml:space="preserve">Вид бетона, класс по проекту: </t>
    </r>
    <r>
      <rPr>
        <sz val="12"/>
        <rFont val="Cambria"/>
        <family val="1"/>
      </rPr>
      <t>Бетон тяжелый класса по прочности</t>
    </r>
  </si>
  <si>
    <r>
      <rPr>
        <sz val="12"/>
        <rFont val="Symbol"/>
        <family val="1"/>
      </rPr>
      <t></t>
    </r>
    <r>
      <rPr>
        <sz val="12"/>
        <rFont val="Times New Roman"/>
        <family val="1"/>
      </rPr>
      <t xml:space="preserve">    </t>
    </r>
    <r>
      <rPr>
        <b/>
        <sz val="12"/>
        <rFont val="Cambria"/>
        <family val="1"/>
      </rPr>
      <t>Наименование конструкции:</t>
    </r>
  </si>
  <si>
    <r>
      <rPr>
        <sz val="12"/>
        <rFont val="Symbol"/>
        <family val="1"/>
      </rPr>
      <t></t>
    </r>
    <r>
      <rPr>
        <sz val="12"/>
        <rFont val="Times New Roman"/>
        <family val="1"/>
      </rPr>
      <t xml:space="preserve">    </t>
    </r>
    <r>
      <rPr>
        <b/>
        <sz val="12"/>
        <rFont val="Cambria"/>
        <family val="1"/>
      </rPr>
      <t xml:space="preserve">Средство измерения: </t>
    </r>
    <r>
      <rPr>
        <sz val="12"/>
        <rFont val="Cambria"/>
        <family val="1"/>
      </rPr>
      <t>«Пульсар -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2», зав. № В935,с УПП базой 120 мм. Свидетельство о</t>
    </r>
  </si>
  <si>
    <t xml:space="preserve">       поверке № С-ГХШ/17-11-2025/482136489 действительно до 16.11.2026г</t>
  </si>
  <si>
    <t>Инженер лаборатории</t>
  </si>
  <si>
    <t>Результаты испытаний распространяются только на места(участки) проведения испытаний, указанные заявителем. Частичное/полное воспроизведение протокола без разрешения испытательной строительной лаборатории «КОНТРОЛЬ-М» не допускается</t>
  </si>
  <si>
    <t>R = 1,45 * 10^(-2) * V - 2,5 * 10; Мпа</t>
  </si>
  <si>
    <t>Испытания провел</t>
  </si>
  <si>
    <r>
      <rPr>
        <sz val="10"/>
        <rFont val="Times New Roman"/>
        <family val="1"/>
      </rPr>
      <t>________________  </t>
    </r>
    <r>
      <rPr>
        <sz val="10"/>
        <rFont val="Cambria"/>
        <family val="1"/>
      </rPr>
      <t>Э.И.Абливапов</t>
    </r>
  </si>
  <si>
    <t>В20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</si>
</sst>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color rgb="FF000000"/>
      <name val="Times New Roman"/>
      <charset val="204"/>
    </font>
    <font>
      <sz val="10"/>
      <name val="Cambria"/>
      <family val="1"/>
      <charset val="204"/>
    </font>
    <font>
      <sz val="12"/>
      <name val="Cambria"/>
      <family val="1"/>
      <charset val="204"/>
    </font>
    <font>
      <sz val="12"/>
      <color rgb="FF000000"/>
      <name val="Cambria"/>
      <family val="2"/>
    </font>
    <font>
      <sz val="8"/>
      <name val="Cambria"/>
      <family val="1"/>
      <charset val="204"/>
    </font>
    <font>
      <sz val="10"/>
      <name val="Cambria"/>
      <family val="1"/>
    </font>
    <font>
      <b/>
      <sz val="12"/>
      <name val="Cambria"/>
      <family val="1"/>
    </font>
    <font>
      <sz val="12"/>
      <name val="Times New Roman"/>
      <family val="1"/>
    </font>
    <font>
      <sz val="12"/>
      <name val="Cambria"/>
      <family val="1"/>
    </font>
    <font>
      <sz val="12"/>
      <name val="Symbol"/>
      <family val="1"/>
    </font>
    <font>
      <u/>
      <sz val="12"/>
      <name val="Times New Roman"/>
      <family val="1"/>
    </font>
    <font>
      <sz val="12"/>
      <name val="Times New Roman"/>
      <family val="1"/>
      <charset val="204"/>
    </font>
    <font>
      <sz val="12"/>
      <color rgb="FF000000"/>
      <name val="Cambria"/>
      <family val="1"/>
      <charset val="204"/>
      <scheme val="major"/>
    </font>
    <font>
      <b/>
      <sz val="12"/>
      <name val="Cambria"/>
      <family val="1"/>
      <charset val="204"/>
      <scheme val="major"/>
    </font>
    <font>
      <sz val="12"/>
      <name val="Cambria"/>
      <family val="1"/>
      <charset val="204"/>
    </font>
    <font>
      <sz val="12"/>
      <color theme="0"/>
      <name val="Cambria"/>
      <family val="1"/>
      <charset val="204"/>
      <scheme val="major"/>
    </font>
    <font>
      <sz val="10"/>
      <color theme="0"/>
      <name val="Times New Roman"/>
      <family val="1"/>
      <charset val="204"/>
    </font>
    <font>
      <sz val="10"/>
      <name val="Times New Roman"/>
      <family val="1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 textRotation="90" wrapText="1"/>
    </xf>
    <xf numFmtId="1" fontId="3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right" vertical="top"/>
    </xf>
    <xf numFmtId="49" fontId="0" fillId="0" borderId="0" xfId="0" applyNumberFormat="1" applyAlignment="1">
      <alignment horizontal="left" vertical="top"/>
    </xf>
    <xf numFmtId="49" fontId="1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top" indent="2"/>
    </xf>
    <xf numFmtId="49" fontId="2" fillId="0" borderId="0" xfId="0" applyNumberFormat="1" applyFont="1" applyAlignment="1">
      <alignment horizontal="left" vertical="top"/>
    </xf>
    <xf numFmtId="49" fontId="11" fillId="0" borderId="0" xfId="0" applyNumberFormat="1" applyFont="1" applyAlignment="1">
      <alignment horizontal="left" vertical="top"/>
    </xf>
    <xf numFmtId="49" fontId="12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horizontal="center" vertical="top" wrapText="1"/>
    </xf>
    <xf numFmtId="0" fontId="12" fillId="0" borderId="0" xfId="0" applyFont="1" applyAlignment="1">
      <alignment horizontal="left" vertical="top"/>
    </xf>
    <xf numFmtId="49" fontId="15" fillId="0" borderId="0" xfId="0" applyNumberFormat="1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49" fontId="12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top"/>
    </xf>
    <xf numFmtId="49" fontId="12" fillId="0" borderId="0" xfId="0" applyNumberFormat="1" applyFont="1" applyAlignment="1">
      <alignment vertical="center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center" vertical="top" wrapText="1"/>
    </xf>
    <xf numFmtId="1" fontId="3" fillId="0" borderId="13" xfId="0" applyNumberFormat="1" applyFont="1" applyBorder="1" applyAlignment="1">
      <alignment horizontal="center" vertical="top" shrinkToFit="1"/>
    </xf>
    <xf numFmtId="1" fontId="3" fillId="0" borderId="14" xfId="0" applyNumberFormat="1" applyFont="1" applyBorder="1" applyAlignment="1">
      <alignment horizontal="center" vertical="top" shrinkToFi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57150</xdr:rowOff>
    </xdr:from>
    <xdr:to>
      <xdr:col>1</xdr:col>
      <xdr:colOff>648335</xdr:colOff>
      <xdr:row>12</xdr:row>
      <xdr:rowOff>5715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75B7EF9-A011-4D2B-8454-A9F044CC2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20339" y1="34177" x2="25666" y2="24051"/>
                      <a14:backgroundMark x1="39952" y1="15190" x2="45278" y2="256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8700"/>
          <a:ext cx="1257935" cy="958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7:J85"/>
  <sheetViews>
    <sheetView tabSelected="1" view="pageLayout" zoomScaleNormal="115" workbookViewId="0">
      <selection activeCell="D18" sqref="D18:J18"/>
    </sheetView>
  </sheetViews>
  <sheetFormatPr defaultColWidth="9.33203125" defaultRowHeight="12.75" x14ac:dyDescent="0.2"/>
  <cols>
    <col min="1" max="1" width="9.5" customWidth="1"/>
    <col min="2" max="2" width="22.6640625" customWidth="1"/>
    <col min="3" max="3" width="7" customWidth="1"/>
    <col min="4" max="4" width="7.1640625" customWidth="1"/>
    <col min="5" max="5" width="13.33203125" customWidth="1"/>
    <col min="6" max="6" width="20.5" customWidth="1"/>
    <col min="7" max="7" width="6" customWidth="1"/>
    <col min="8" max="8" width="12.83203125" customWidth="1"/>
    <col min="9" max="9" width="3.33203125" customWidth="1"/>
    <col min="10" max="10" width="5.83203125" customWidth="1"/>
  </cols>
  <sheetData>
    <row r="7" spans="1:10" x14ac:dyDescent="0.2">
      <c r="A7" s="1" t="s">
        <v>0</v>
      </c>
      <c r="B7" s="1"/>
      <c r="C7" s="1"/>
    </row>
    <row r="8" spans="1:10" x14ac:dyDescent="0.2">
      <c r="A8" s="1" t="s">
        <v>1</v>
      </c>
      <c r="B8" s="1"/>
      <c r="C8" s="1"/>
    </row>
    <row r="9" spans="1:10" x14ac:dyDescent="0.2">
      <c r="A9" s="1"/>
      <c r="B9" s="1"/>
      <c r="C9" s="1"/>
    </row>
    <row r="10" spans="1:10" x14ac:dyDescent="0.2">
      <c r="A10" s="24" t="s">
        <v>38</v>
      </c>
    </row>
    <row r="12" spans="1:10" ht="15.75" x14ac:dyDescent="0.2">
      <c r="A12" s="25" t="s">
        <v>14</v>
      </c>
      <c r="B12" s="25"/>
      <c r="C12" s="25"/>
      <c r="D12" s="25"/>
      <c r="E12" s="25"/>
      <c r="F12" s="25"/>
      <c r="G12" s="25"/>
      <c r="H12" s="25"/>
      <c r="I12" s="25"/>
      <c r="J12" s="25"/>
    </row>
    <row r="13" spans="1:10" ht="15.75" x14ac:dyDescent="0.2">
      <c r="A13" s="29" t="s">
        <v>17</v>
      </c>
      <c r="B13" s="29"/>
      <c r="C13" s="29"/>
      <c r="D13" s="30"/>
      <c r="E13" s="30"/>
      <c r="F13" s="30"/>
      <c r="G13" s="30"/>
      <c r="H13" s="30"/>
      <c r="I13" s="30"/>
      <c r="J13" s="30"/>
    </row>
    <row r="14" spans="1:10" ht="15.75" x14ac:dyDescent="0.2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s="11" customFormat="1" ht="19.149999999999999" customHeight="1" x14ac:dyDescent="0.2">
      <c r="A15" s="12" t="s">
        <v>2</v>
      </c>
      <c r="B15" s="12"/>
      <c r="C15" s="12"/>
      <c r="D15" s="12"/>
      <c r="E15" s="12"/>
      <c r="F15" s="12"/>
      <c r="G15" s="12"/>
      <c r="H15" s="12"/>
      <c r="I15" s="12"/>
      <c r="J15" s="13"/>
    </row>
    <row r="16" spans="1:10" s="11" customFormat="1" ht="19.149999999999999" customHeight="1" x14ac:dyDescent="0.2">
      <c r="A16" s="12" t="s">
        <v>20</v>
      </c>
      <c r="B16" s="12"/>
      <c r="C16" s="12"/>
      <c r="D16" s="12"/>
      <c r="E16" s="12"/>
      <c r="F16" s="12"/>
      <c r="G16" s="12"/>
      <c r="H16" s="12"/>
      <c r="I16" s="12"/>
      <c r="J16" s="13"/>
    </row>
    <row r="17" spans="1:10" s="11" customFormat="1" ht="19.149999999999999" customHeight="1" x14ac:dyDescent="0.2">
      <c r="A17" s="12" t="s">
        <v>19</v>
      </c>
      <c r="B17" s="12"/>
      <c r="C17" s="12"/>
      <c r="D17" s="12"/>
      <c r="E17" s="12"/>
      <c r="F17" s="12"/>
      <c r="G17" s="12"/>
      <c r="H17" s="12"/>
      <c r="I17" s="12"/>
      <c r="J17" s="13"/>
    </row>
    <row r="18" spans="1:10" s="11" customFormat="1" ht="15.75" customHeight="1" x14ac:dyDescent="0.2">
      <c r="A18" s="32" t="s">
        <v>31</v>
      </c>
      <c r="B18" s="32"/>
      <c r="C18" s="32"/>
      <c r="D18" s="33"/>
      <c r="E18" s="49"/>
      <c r="F18" s="49"/>
      <c r="G18" s="49"/>
      <c r="H18" s="49"/>
      <c r="I18" s="49"/>
      <c r="J18" s="49"/>
    </row>
    <row r="19" spans="1:10" s="11" customFormat="1" ht="19.149999999999999" customHeight="1" x14ac:dyDescent="0.2">
      <c r="A19" s="31" t="s">
        <v>30</v>
      </c>
      <c r="B19" s="31"/>
      <c r="C19" s="31"/>
      <c r="D19" s="31"/>
      <c r="E19" s="31"/>
      <c r="F19" s="31"/>
      <c r="G19" s="12" t="s">
        <v>39</v>
      </c>
      <c r="H19" s="12" t="s">
        <v>29</v>
      </c>
      <c r="I19" s="12"/>
      <c r="J19" s="13"/>
    </row>
    <row r="20" spans="1:10" s="11" customFormat="1" ht="19.149999999999999" customHeight="1" x14ac:dyDescent="0.2">
      <c r="A20" s="12" t="s">
        <v>27</v>
      </c>
      <c r="B20" s="12"/>
      <c r="C20" s="12"/>
      <c r="D20" s="12"/>
      <c r="E20" s="19"/>
      <c r="F20" s="19"/>
      <c r="G20" s="19"/>
      <c r="H20" s="19"/>
      <c r="I20" s="19"/>
    </row>
    <row r="21" spans="1:10" s="11" customFormat="1" ht="19.149999999999999" customHeight="1" x14ac:dyDescent="0.2">
      <c r="A21" s="12" t="s">
        <v>28</v>
      </c>
      <c r="B21" s="12"/>
      <c r="C21" s="12"/>
      <c r="D21" s="12"/>
      <c r="E21" s="19"/>
      <c r="F21" s="19"/>
      <c r="G21" s="19"/>
      <c r="H21" s="19"/>
      <c r="I21" s="19"/>
    </row>
    <row r="22" spans="1:10" s="11" customFormat="1" ht="19.149999999999999" customHeight="1" x14ac:dyDescent="0.2">
      <c r="A22" s="14" t="s">
        <v>32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s="11" customFormat="1" ht="15.75" x14ac:dyDescent="0.2">
      <c r="A23" s="15" t="s">
        <v>33</v>
      </c>
      <c r="B23" s="12"/>
      <c r="C23" s="12"/>
      <c r="D23" s="12"/>
      <c r="E23" s="12"/>
      <c r="F23" s="12"/>
      <c r="G23" s="12"/>
      <c r="H23" s="12"/>
      <c r="I23" s="12"/>
      <c r="J23" s="13"/>
    </row>
    <row r="24" spans="1:10" ht="15.75" x14ac:dyDescent="0.2">
      <c r="A24" s="16"/>
      <c r="B24" s="16"/>
      <c r="C24" s="16"/>
      <c r="D24" s="8"/>
      <c r="E24" s="8"/>
      <c r="F24" s="8"/>
      <c r="G24" s="8"/>
      <c r="H24" s="8"/>
      <c r="I24" s="8"/>
      <c r="J24" s="8"/>
    </row>
    <row r="25" spans="1:10" ht="15.75" x14ac:dyDescent="0.2">
      <c r="A25" s="16"/>
      <c r="B25" s="16"/>
      <c r="C25" s="16"/>
      <c r="D25" s="8"/>
      <c r="E25" s="8"/>
      <c r="F25" s="8"/>
      <c r="G25" s="8"/>
      <c r="H25" s="8"/>
      <c r="I25" s="8"/>
      <c r="J25" s="8"/>
    </row>
    <row r="26" spans="1:10" ht="19.149999999999999" customHeight="1" x14ac:dyDescent="0.2">
      <c r="A26" s="9" t="s">
        <v>21</v>
      </c>
      <c r="B26" s="8"/>
      <c r="C26" s="8"/>
      <c r="D26" s="8"/>
      <c r="E26" s="8"/>
      <c r="F26" s="8"/>
      <c r="G26" s="8"/>
      <c r="H26" s="8"/>
      <c r="I26" s="8"/>
      <c r="J26" s="8"/>
    </row>
    <row r="27" spans="1:10" ht="19.149999999999999" customHeight="1" x14ac:dyDescent="0.2">
      <c r="A27" s="9" t="s">
        <v>22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ht="19.149999999999999" customHeight="1" x14ac:dyDescent="0.2">
      <c r="A28" s="9" t="s">
        <v>23</v>
      </c>
      <c r="B28" s="8"/>
      <c r="C28" s="8"/>
      <c r="D28" s="8"/>
      <c r="E28" s="8"/>
      <c r="F28" s="8"/>
      <c r="G28" s="8"/>
      <c r="H28" s="8"/>
      <c r="I28" s="8"/>
      <c r="J28" s="8"/>
    </row>
    <row r="29" spans="1:10" ht="19.149999999999999" customHeight="1" x14ac:dyDescent="0.2">
      <c r="A29" s="9" t="s">
        <v>24</v>
      </c>
      <c r="B29" s="8"/>
      <c r="C29" s="8"/>
      <c r="D29" s="8"/>
      <c r="E29" s="8"/>
      <c r="F29" s="8"/>
      <c r="G29" s="8"/>
      <c r="H29" s="8"/>
      <c r="I29" s="8"/>
      <c r="J29" s="8"/>
    </row>
    <row r="30" spans="1:10" ht="19.149999999999999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9.149999999999999" customHeight="1" x14ac:dyDescent="0.2">
      <c r="A31" s="9" t="s">
        <v>25</v>
      </c>
      <c r="B31" s="8"/>
      <c r="C31" s="8"/>
      <c r="D31" s="8"/>
      <c r="E31" s="8"/>
      <c r="F31" s="8"/>
      <c r="G31" s="8"/>
      <c r="H31" s="8"/>
      <c r="I31" s="8"/>
      <c r="J31" s="8"/>
    </row>
    <row r="32" spans="1:10" ht="19.149999999999999" customHeight="1" x14ac:dyDescent="0.2">
      <c r="A32" s="9" t="s">
        <v>26</v>
      </c>
      <c r="B32" s="8"/>
      <c r="C32" s="8"/>
      <c r="D32" s="8"/>
      <c r="E32" s="8"/>
      <c r="F32" s="8"/>
      <c r="G32" s="8"/>
      <c r="H32" s="8"/>
      <c r="I32" s="8"/>
      <c r="J32" s="8"/>
    </row>
    <row r="33" spans="1:10" ht="15.75" x14ac:dyDescent="0.2">
      <c r="A33" s="10"/>
      <c r="B33" s="10"/>
      <c r="C33" s="10"/>
      <c r="D33" s="10"/>
      <c r="E33" s="10"/>
      <c r="F33" s="10"/>
      <c r="G33" s="10"/>
      <c r="H33" s="10"/>
      <c r="I33" s="10"/>
      <c r="J33" s="8"/>
    </row>
    <row r="34" spans="1:10" ht="22.9" customHeight="1" x14ac:dyDescent="0.2">
      <c r="A34" s="17" t="s">
        <v>3</v>
      </c>
      <c r="B34" s="17"/>
      <c r="C34" s="17"/>
      <c r="D34" s="8"/>
      <c r="E34" s="8"/>
      <c r="F34" s="8"/>
      <c r="G34" s="8"/>
      <c r="H34" s="8"/>
      <c r="I34" s="8"/>
      <c r="J34" s="8"/>
    </row>
    <row r="35" spans="1:10" ht="23.45" customHeight="1" x14ac:dyDescent="0.2">
      <c r="A35" s="18"/>
      <c r="B35" s="18"/>
      <c r="C35" s="18"/>
      <c r="D35" s="21" t="str">
        <f>IF(OR(G19="В20", G19="B20"),F37,F36)</f>
        <v>R = 1,45 * 10^(-2) * V - 2,5 * 10; Мпа</v>
      </c>
      <c r="E35" s="9"/>
      <c r="F35" s="8"/>
      <c r="G35" s="8"/>
      <c r="H35" s="8"/>
      <c r="I35" s="8"/>
      <c r="J35" s="8"/>
    </row>
    <row r="36" spans="1:10" ht="19.149999999999999" customHeight="1" x14ac:dyDescent="0.2">
      <c r="A36" s="9" t="s">
        <v>15</v>
      </c>
      <c r="B36" s="8"/>
      <c r="C36" s="8"/>
      <c r="D36" s="8"/>
      <c r="E36" s="8"/>
      <c r="F36" s="22" t="s">
        <v>18</v>
      </c>
      <c r="G36" s="8"/>
      <c r="H36" s="8"/>
      <c r="I36" s="8"/>
      <c r="J36" s="8"/>
    </row>
    <row r="37" spans="1:10" ht="19.149999999999999" customHeight="1" x14ac:dyDescent="0.2">
      <c r="A37" s="8" t="s">
        <v>4</v>
      </c>
      <c r="B37" s="8"/>
      <c r="C37" s="8"/>
      <c r="D37" s="8"/>
      <c r="E37" s="8"/>
      <c r="F37" s="22" t="s">
        <v>36</v>
      </c>
      <c r="G37" s="8"/>
      <c r="H37" s="8"/>
      <c r="I37" s="8"/>
      <c r="J37" s="8"/>
    </row>
    <row r="38" spans="1:10" ht="15.75" x14ac:dyDescent="0.2">
      <c r="A38" s="17"/>
      <c r="B38" s="17"/>
      <c r="C38" s="17"/>
      <c r="D38" s="8"/>
      <c r="E38" s="8"/>
      <c r="F38" s="8"/>
      <c r="G38" s="8"/>
      <c r="H38" s="8"/>
      <c r="I38" s="8"/>
      <c r="J38" s="8"/>
    </row>
    <row r="39" spans="1:10" ht="15.75" x14ac:dyDescent="0.2">
      <c r="A39" s="17" t="s">
        <v>5</v>
      </c>
      <c r="B39" s="17"/>
      <c r="C39" s="17"/>
      <c r="D39" s="8"/>
      <c r="E39" s="8"/>
      <c r="F39" s="8"/>
      <c r="G39" s="8"/>
      <c r="H39" s="8"/>
      <c r="I39" s="8"/>
      <c r="J39" s="8"/>
    </row>
    <row r="43" spans="1:10" ht="15.75" x14ac:dyDescent="0.2">
      <c r="B43" s="6"/>
      <c r="C43" s="6"/>
      <c r="H43" s="7" t="s">
        <v>16</v>
      </c>
    </row>
    <row r="44" spans="1:10" ht="145.5" customHeight="1" x14ac:dyDescent="0.2">
      <c r="B44" s="3" t="s">
        <v>6</v>
      </c>
      <c r="C44" s="34" t="s">
        <v>7</v>
      </c>
      <c r="D44" s="35"/>
      <c r="E44" s="3" t="s">
        <v>8</v>
      </c>
      <c r="F44" s="3" t="s">
        <v>9</v>
      </c>
      <c r="G44" s="34" t="s">
        <v>10</v>
      </c>
      <c r="H44" s="35"/>
    </row>
    <row r="45" spans="1:10" ht="15.75" x14ac:dyDescent="0.2">
      <c r="B45" s="4">
        <v>1</v>
      </c>
      <c r="C45" s="42">
        <v>2</v>
      </c>
      <c r="D45" s="43"/>
      <c r="E45" s="4">
        <v>3</v>
      </c>
      <c r="F45" s="4">
        <v>4</v>
      </c>
      <c r="G45" s="42">
        <v>5</v>
      </c>
      <c r="H45" s="43"/>
    </row>
    <row r="46" spans="1:10" ht="15.75" x14ac:dyDescent="0.2">
      <c r="B46" s="26" t="s">
        <v>11</v>
      </c>
      <c r="C46" s="44">
        <v>1</v>
      </c>
      <c r="D46" s="45"/>
      <c r="E46" s="4">
        <f ca="1">IF($G$19="В30",RANDBETWEEN(3750,3950),IF($G$19="В25",RANDBETWEEN(3450,3650),IF($G$19="B30",RANDBETWEEN(3750,3950),IF($G$19="B25",RANDBETWEEN(3450,3650),RANDBETWEEN(3100,3350)))))</f>
        <v>3319</v>
      </c>
      <c r="F46" s="20">
        <f ca="1">$C$57*POWER(10,-2)*E46-2.5*10</f>
        <v>23.125499999999995</v>
      </c>
      <c r="G46" s="36">
        <f ca="1">AVERAGE(F46:F55)</f>
        <v>21.475399999999997</v>
      </c>
      <c r="H46" s="37"/>
    </row>
    <row r="47" spans="1:10" ht="15.75" x14ac:dyDescent="0.2">
      <c r="B47" s="27"/>
      <c r="C47" s="44">
        <v>2</v>
      </c>
      <c r="D47" s="45">
        <v>2</v>
      </c>
      <c r="E47" s="4">
        <f t="shared" ref="E47:E55" ca="1" si="0">IF($G$19="В30",RANDBETWEEN(3750,3950),IF($G$19="В25",RANDBETWEEN(3450,3650),IF($G$19="B30",RANDBETWEEN(3750,3950),IF($G$19="B25",RANDBETWEEN(3450,3650),RANDBETWEEN(3100,3350)))))</f>
        <v>3115</v>
      </c>
      <c r="F47" s="20">
        <f ca="1">$C$57*POWER(10,-2)*E47-2.5*10</f>
        <v>20.167499999999997</v>
      </c>
      <c r="G47" s="38"/>
      <c r="H47" s="39"/>
    </row>
    <row r="48" spans="1:10" ht="15.75" x14ac:dyDescent="0.2">
      <c r="B48" s="27"/>
      <c r="C48" s="44">
        <v>3</v>
      </c>
      <c r="D48" s="45">
        <v>3</v>
      </c>
      <c r="E48" s="4">
        <f t="shared" ca="1" si="0"/>
        <v>3234</v>
      </c>
      <c r="F48" s="20">
        <f ca="1">$C$57*POWER(10,-2)*E48-2.5*10</f>
        <v>21.892999999999994</v>
      </c>
      <c r="G48" s="38"/>
      <c r="H48" s="39"/>
    </row>
    <row r="49" spans="2:8" ht="15.75" x14ac:dyDescent="0.2">
      <c r="B49" s="27"/>
      <c r="C49" s="44">
        <v>4</v>
      </c>
      <c r="D49" s="45">
        <v>4</v>
      </c>
      <c r="E49" s="4">
        <f t="shared" ca="1" si="0"/>
        <v>3165</v>
      </c>
      <c r="F49" s="20">
        <f t="shared" ref="F49:F55" ca="1" si="1">$C$57*POWER(10,-2)*E49-2.5*10</f>
        <v>20.892499999999998</v>
      </c>
      <c r="G49" s="38"/>
      <c r="H49" s="39"/>
    </row>
    <row r="50" spans="2:8" ht="15.75" x14ac:dyDescent="0.2">
      <c r="B50" s="27"/>
      <c r="C50" s="44">
        <v>5</v>
      </c>
      <c r="D50" s="45">
        <v>5</v>
      </c>
      <c r="E50" s="4">
        <f t="shared" ca="1" si="0"/>
        <v>3308</v>
      </c>
      <c r="F50" s="20">
        <f t="shared" ca="1" si="1"/>
        <v>22.965999999999994</v>
      </c>
      <c r="G50" s="38"/>
      <c r="H50" s="39"/>
    </row>
    <row r="51" spans="2:8" ht="15.75" x14ac:dyDescent="0.2">
      <c r="B51" s="27"/>
      <c r="C51" s="44">
        <v>6</v>
      </c>
      <c r="D51" s="45">
        <v>6</v>
      </c>
      <c r="E51" s="4">
        <f t="shared" ca="1" si="0"/>
        <v>3101</v>
      </c>
      <c r="F51" s="20">
        <f t="shared" ca="1" si="1"/>
        <v>19.964499999999994</v>
      </c>
      <c r="G51" s="38"/>
      <c r="H51" s="39"/>
    </row>
    <row r="52" spans="2:8" ht="15.75" x14ac:dyDescent="0.2">
      <c r="B52" s="27"/>
      <c r="C52" s="44">
        <v>7</v>
      </c>
      <c r="D52" s="45">
        <v>7</v>
      </c>
      <c r="E52" s="4">
        <f t="shared" ca="1" si="0"/>
        <v>3160</v>
      </c>
      <c r="F52" s="20">
        <f t="shared" ca="1" si="1"/>
        <v>20.82</v>
      </c>
      <c r="G52" s="38"/>
      <c r="H52" s="39"/>
    </row>
    <row r="53" spans="2:8" ht="15.75" x14ac:dyDescent="0.2">
      <c r="B53" s="27"/>
      <c r="C53" s="44">
        <v>8</v>
      </c>
      <c r="D53" s="45">
        <v>8</v>
      </c>
      <c r="E53" s="4">
        <f t="shared" ca="1" si="0"/>
        <v>3183</v>
      </c>
      <c r="F53" s="20">
        <f t="shared" ca="1" si="1"/>
        <v>21.153499999999994</v>
      </c>
      <c r="G53" s="38"/>
      <c r="H53" s="39"/>
    </row>
    <row r="54" spans="2:8" ht="15.75" x14ac:dyDescent="0.2">
      <c r="B54" s="27"/>
      <c r="C54" s="44">
        <v>9</v>
      </c>
      <c r="D54" s="45">
        <v>9</v>
      </c>
      <c r="E54" s="4">
        <f t="shared" ca="1" si="0"/>
        <v>3269</v>
      </c>
      <c r="F54" s="20">
        <f t="shared" ca="1" si="1"/>
        <v>22.400499999999994</v>
      </c>
      <c r="G54" s="38"/>
      <c r="H54" s="39"/>
    </row>
    <row r="55" spans="2:8" ht="15.75" x14ac:dyDescent="0.2">
      <c r="B55" s="28"/>
      <c r="C55" s="47">
        <v>10</v>
      </c>
      <c r="D55" s="48">
        <v>10</v>
      </c>
      <c r="E55" s="4">
        <f t="shared" ca="1" si="0"/>
        <v>3198</v>
      </c>
      <c r="F55" s="20">
        <f t="shared" ca="1" si="1"/>
        <v>21.370999999999995</v>
      </c>
      <c r="G55" s="40"/>
      <c r="H55" s="41"/>
    </row>
    <row r="57" spans="2:8" x14ac:dyDescent="0.2">
      <c r="C57" s="23">
        <f>IF(OR(G19="В20", G19="B20"),1.45,1.5)</f>
        <v>1.45</v>
      </c>
    </row>
    <row r="65" spans="1:6" ht="15.75" x14ac:dyDescent="0.2">
      <c r="A65" s="6"/>
    </row>
    <row r="76" spans="1:6" ht="15.75" x14ac:dyDescent="0.2">
      <c r="A76" s="6" t="s">
        <v>37</v>
      </c>
    </row>
    <row r="77" spans="1:6" ht="15.75" x14ac:dyDescent="0.2">
      <c r="A77" s="2" t="s">
        <v>34</v>
      </c>
      <c r="F77" t="s">
        <v>13</v>
      </c>
    </row>
    <row r="78" spans="1:6" ht="15.75" x14ac:dyDescent="0.2">
      <c r="A78" s="2" t="s">
        <v>12</v>
      </c>
    </row>
    <row r="82" spans="1:10" ht="15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spans="1:10" ht="15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spans="1:10" x14ac:dyDescent="0.2">
      <c r="A84" s="46" t="s">
        <v>35</v>
      </c>
      <c r="B84" s="46"/>
      <c r="C84" s="46"/>
      <c r="D84" s="46"/>
      <c r="E84" s="46"/>
      <c r="F84" s="46"/>
      <c r="G84" s="46"/>
      <c r="H84" s="46"/>
      <c r="I84" s="46"/>
      <c r="J84" s="46"/>
    </row>
    <row r="85" spans="1:10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</row>
  </sheetData>
  <mergeCells count="23">
    <mergeCell ref="A82:J83"/>
    <mergeCell ref="A84:J85"/>
    <mergeCell ref="C51:D51"/>
    <mergeCell ref="C52:D52"/>
    <mergeCell ref="C53:D53"/>
    <mergeCell ref="C54:D54"/>
    <mergeCell ref="C55:D55"/>
    <mergeCell ref="A12:J12"/>
    <mergeCell ref="B46:B55"/>
    <mergeCell ref="A13:J13"/>
    <mergeCell ref="A19:F19"/>
    <mergeCell ref="A18:C18"/>
    <mergeCell ref="D18:J18"/>
    <mergeCell ref="G44:H44"/>
    <mergeCell ref="G46:H55"/>
    <mergeCell ref="G45:H45"/>
    <mergeCell ref="C44:D44"/>
    <mergeCell ref="C45:D45"/>
    <mergeCell ref="C46:D46"/>
    <mergeCell ref="C47:D47"/>
    <mergeCell ref="C48:D48"/>
    <mergeCell ref="C49:D49"/>
    <mergeCell ref="C50:D50"/>
  </mergeCells>
  <pageMargins left="0.43307086614173229" right="0.23622047244094491" top="0.51181102362204722" bottom="0.51181102362204722" header="0.31496062992125984" footer="0.31496062992125984"/>
  <pageSetup paperSize="9" orientation="portrait" r:id="rId1"/>
  <headerFooter differentFirst="1">
    <oddHeader>&amp;L&amp;G</oddHeader>
    <firstHeader>&amp;L&amp;G</firstHeader>
  </headerFooter>
  <rowBreaks count="1" manualBreakCount="1">
    <brk id="40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2026-03-10T07:37:14Z</cp:lastPrinted>
  <dcterms:created xsi:type="dcterms:W3CDTF">2026-03-09T16:49:59Z</dcterms:created>
  <dcterms:modified xsi:type="dcterms:W3CDTF">2026-04-27T07:10:37Z</dcterms:modified>
</cp:coreProperties>
</file>